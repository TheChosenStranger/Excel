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ustafa Ghareeb\Desktop\"/>
    </mc:Choice>
  </mc:AlternateContent>
  <xr:revisionPtr revIDLastSave="0" documentId="13_ncr:1_{325866DB-FE70-410B-8721-549347CDDA20}" xr6:coauthVersionLast="45" xr6:coauthVersionMax="45" xr10:uidLastSave="{00000000-0000-0000-0000-000000000000}"/>
  <bookViews>
    <workbookView xWindow="-120" yWindow="-120" windowWidth="20730" windowHeight="11310" xr2:uid="{EC9CF541-7E9C-48E1-81FB-D6643BE36917}"/>
  </bookViews>
  <sheets>
    <sheet name="Sheet1" sheetId="1" r:id="rId1"/>
    <sheet name="Setting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8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2" i="1"/>
  <c r="C23" i="1"/>
  <c r="C24" i="1"/>
  <c r="C25" i="1"/>
  <c r="C26" i="1"/>
  <c r="C27" i="1"/>
  <c r="C28" i="1"/>
  <c r="C29" i="1"/>
  <c r="C30" i="1"/>
  <c r="C31" i="1"/>
  <c r="C32" i="1"/>
  <c r="C33" i="1"/>
</calcChain>
</file>

<file path=xl/sharedStrings.xml><?xml version="1.0" encoding="utf-8"?>
<sst xmlns="http://schemas.openxmlformats.org/spreadsheetml/2006/main" count="81" uniqueCount="43">
  <si>
    <t>Direction</t>
  </si>
  <si>
    <t>Output Value</t>
  </si>
  <si>
    <t>Input Type</t>
  </si>
  <si>
    <t>Pin number</t>
  </si>
  <si>
    <t>PIN_0</t>
  </si>
  <si>
    <t>PIN_1</t>
  </si>
  <si>
    <t>PIN_2</t>
  </si>
  <si>
    <t>PIN_3</t>
  </si>
  <si>
    <t>PIN_4</t>
  </si>
  <si>
    <t>PIN_5</t>
  </si>
  <si>
    <t>PIN_6</t>
  </si>
  <si>
    <t>PIN_7</t>
  </si>
  <si>
    <t>PIN_8</t>
  </si>
  <si>
    <t>PIN_9</t>
  </si>
  <si>
    <t>PIN_10</t>
  </si>
  <si>
    <t>PIN_11</t>
  </si>
  <si>
    <t>PIN_12</t>
  </si>
  <si>
    <t>PIN_13</t>
  </si>
  <si>
    <t>PIN_14</t>
  </si>
  <si>
    <t>PIN_15</t>
  </si>
  <si>
    <t>PIN_16</t>
  </si>
  <si>
    <t>PIN_17</t>
  </si>
  <si>
    <t>PIN_18</t>
  </si>
  <si>
    <t>PIN_19</t>
  </si>
  <si>
    <t>PIN_20</t>
  </si>
  <si>
    <t>PIN_21</t>
  </si>
  <si>
    <t>PIN_22</t>
  </si>
  <si>
    <t>PIN_23</t>
  </si>
  <si>
    <t>PIN_24</t>
  </si>
  <si>
    <t>PIN_25</t>
  </si>
  <si>
    <t>PIN_26</t>
  </si>
  <si>
    <t>PIN_27</t>
  </si>
  <si>
    <t>PIN_28</t>
  </si>
  <si>
    <t>PIN_29</t>
  </si>
  <si>
    <t>PIN_30</t>
  </si>
  <si>
    <t>PIN_31</t>
  </si>
  <si>
    <t>DIO_Output</t>
  </si>
  <si>
    <t>DIO_Input</t>
  </si>
  <si>
    <t>DIO_HIGH</t>
  </si>
  <si>
    <t>DIO_LOW</t>
  </si>
  <si>
    <t>DIO_PULLUP</t>
  </si>
  <si>
    <t>N/A</t>
  </si>
  <si>
    <t>DIO_HIGH_IMPEDENCE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</si>
</sst>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9" tint="0.59996337778862885"/>
        </patternFill>
      </fill>
    </dxf>
    <dxf>
      <font>
        <b/>
        <i val="0"/>
        <color theme="5" tint="-0.24994659260841701"/>
      </font>
      <fill>
        <patternFill>
          <bgColor theme="9" tint="0.59996337778862885"/>
        </patternFill>
      </fill>
    </dxf>
    <dxf>
      <font>
        <b/>
        <i val="0"/>
        <color theme="4" tint="-0.2499465926084170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4" tint="-0.2499465926084170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0.39994506668294322"/>
      </font>
      <fill>
        <patternFill>
          <bgColor theme="8" tint="-0.24994659260841701"/>
        </patternFill>
      </fill>
    </dxf>
    <dxf>
      <font>
        <b/>
        <i val="0"/>
        <color theme="4" tint="-0.24994659260841701"/>
      </font>
      <fill>
        <patternFill patternType="solid">
          <bgColor theme="7" tint="0.39994506668294322"/>
        </patternFill>
      </fill>
    </dxf>
    <dxf>
      <font>
        <color theme="5" tint="-0.24994659260841701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4" tint="-0.2499465926084170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0.39994506668294322"/>
      </font>
      <fill>
        <patternFill>
          <bgColor theme="8" tint="-0.24994659260841701"/>
        </patternFill>
      </fill>
    </dxf>
    <dxf>
      <font>
        <b/>
        <i val="0"/>
        <color theme="4" tint="-0.24994659260841701"/>
      </font>
      <fill>
        <patternFill patternType="solid"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4" tint="-0.2499465926084170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0.39994506668294322"/>
      </font>
      <fill>
        <patternFill>
          <bgColor theme="8" tint="-0.24994659260841701"/>
        </patternFill>
      </fill>
    </dxf>
    <dxf>
      <font>
        <b/>
        <i val="0"/>
        <color theme="4" tint="-0.24994659260841701"/>
      </font>
      <fill>
        <patternFill patternType="solid">
          <bgColor theme="7" tint="0.39994506668294322"/>
        </patternFill>
      </fill>
    </dxf>
    <dxf>
      <font>
        <color theme="5" tint="-0.24994659260841701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4" tint="-0.2499465926084170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0.39994506668294322"/>
      </font>
      <fill>
        <patternFill>
          <bgColor theme="8" tint="-0.24994659260841701"/>
        </patternFill>
      </fill>
    </dxf>
    <dxf>
      <font>
        <b/>
        <i val="0"/>
        <color theme="4" tint="-0.24994659260841701"/>
      </font>
      <fill>
        <patternFill patternType="solid">
          <bgColor theme="7" tint="0.39994506668294322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4" tint="-0.2499465926084170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0.39994506668294322"/>
      </font>
      <fill>
        <patternFill>
          <bgColor theme="8" tint="-0.24994659260841701"/>
        </patternFill>
      </fill>
    </dxf>
    <dxf>
      <font>
        <b/>
        <i val="0"/>
        <color theme="4" tint="-0.24994659260841701"/>
      </font>
      <fill>
        <patternFill patternType="solid">
          <bgColor theme="7" tint="0.39994506668294322"/>
        </patternFill>
      </fill>
    </dxf>
    <dxf>
      <font>
        <b/>
        <i val="0"/>
        <color theme="4" tint="-0.2499465926084170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0.39994506668294322"/>
      </font>
      <fill>
        <patternFill>
          <bgColor theme="8" tint="-0.24994659260841701"/>
        </patternFill>
      </fill>
    </dxf>
    <dxf>
      <font>
        <b/>
        <i val="0"/>
        <color theme="4" tint="-0.24994659260841701"/>
      </font>
      <fill>
        <patternFill patternType="solid"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0.39994506668294322"/>
      </font>
      <fill>
        <patternFill>
          <bgColor theme="8" tint="-0.24994659260841701"/>
        </patternFill>
      </fill>
    </dxf>
    <dxf>
      <font>
        <b/>
        <i val="0"/>
        <color theme="4" tint="-0.24994659260841701"/>
      </font>
      <fill>
        <patternFill patternType="solid">
          <bgColor theme="7" tint="0.39994506668294322"/>
        </patternFill>
      </fill>
    </dxf>
    <dxf>
      <font>
        <b/>
        <i val="0"/>
        <color theme="7" tint="0.39994506668294322"/>
      </font>
      <fill>
        <patternFill>
          <bgColor theme="8" tint="-0.24994659260841701"/>
        </patternFill>
      </fill>
    </dxf>
    <dxf>
      <font>
        <b/>
        <i val="0"/>
        <color theme="4" tint="-0.24994659260841701"/>
      </font>
      <fill>
        <patternFill patternType="solid">
          <bgColor theme="7" tint="0.39994506668294322"/>
        </patternFill>
      </fill>
    </dxf>
    <dxf>
      <font>
        <b/>
        <i val="0"/>
        <color theme="4" tint="-0.24994659260841701"/>
      </font>
      <fill>
        <patternFill patternType="solid">
          <bgColor theme="7" tint="0.39994506668294322"/>
        </patternFill>
      </fill>
    </dxf>
    <dxf>
      <font>
        <b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9523</xdr:colOff>
          <xdr:row>11</xdr:row>
          <xdr:rowOff>19050</xdr:rowOff>
        </xdr:from>
        <xdr:to>
          <xdr:col>9</xdr:col>
          <xdr:colOff>600075</xdr:colOff>
          <xdr:row>13</xdr:row>
          <xdr:rowOff>19050</xdr:rowOff>
        </xdr:to>
        <xdr:sp macro="" textlink="">
          <xdr:nvSpPr>
            <xdr:cNvPr id="1028" name="Gen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09CC039-08FD-471B-A59D-0C0B77D00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4C16FA-F019-4096-8FD9-EAE85179CF66}" name="DIO" displayName="DIO" ref="A1:D33" headerRowDxfId="47" dataDxfId="53">
  <autoFilter ref="A1:D33" xr:uid="{F90FD779-3A59-4AE1-8810-52B62D6D5834}">
    <filterColumn colId="0" hiddenButton="1"/>
    <filterColumn colId="1" hiddenButton="1"/>
    <filterColumn colId="2" hiddenButton="1"/>
    <filterColumn colId="3" hiddenButton="1"/>
  </autoFilter>
  <tableColumns count="4">
    <tableColumn id="1" xr3:uid="{E7DFC53B-093B-4238-89A6-3AF9BDB085B7}" name="Pin number" totalsRowLabel="Total" dataDxfId="45" totalsRowDxfId="50"/>
    <tableColumn id="2" xr3:uid="{121BEA7F-B38E-44E1-964E-542521F18871}" name="Direction" dataDxfId="46" totalsRowDxfId="51"/>
    <tableColumn id="3" xr3:uid="{BC1E8010-6AEB-4B36-B2EB-79CE1D069C9D}" name="Output Value" dataDxfId="49">
      <calculatedColumnFormula>IF(DIO[[#This Row],[Direction]]="DIO_Output","DIO_HIGH","N/A")</calculatedColumnFormula>
    </tableColumn>
    <tableColumn id="4" xr3:uid="{F7EFDE61-394C-4642-A44F-7E926DFBF6BC}" name="Input Type" totalsRowFunction="count" dataDxfId="48" totalsRowDxfId="52">
      <calculatedColumnFormula>IF(DIO[[#This Row],[Direction]]="DIO_Input","DIO_PULLUP","N/A")</calculatedColumnFormula>
    </tableColumn>
  </tableColumns>
  <tableStyleInfo name="TableStyleLight9" showFirstColumn="0" showLastColumn="0" showRowStripes="0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5422E-6E2C-46C8-8C66-A0D2084DF2D0}">
  <sheetPr codeName="Sheet1"/>
  <dimension ref="A1:D33"/>
  <sheetViews>
    <sheetView tabSelected="1" workbookViewId="0">
      <selection activeCell="H6" sqref="H6"/>
    </sheetView>
  </sheetViews>
  <sheetFormatPr defaultRowHeight="15" x14ac:dyDescent="0.25"/>
  <cols>
    <col min="1" max="1" width="19" style="1" bestFit="1" customWidth="1"/>
    <col min="2" max="2" width="16.42578125" style="1" bestFit="1" customWidth="1"/>
    <col min="3" max="3" width="21.140625" style="1" bestFit="1" customWidth="1"/>
    <col min="4" max="4" width="21.42578125" style="1" bestFit="1" customWidth="1"/>
    <col min="5" max="16384" width="9.140625" style="1"/>
  </cols>
  <sheetData>
    <row r="1" spans="1:4" ht="18.75" x14ac:dyDescent="0.25">
      <c r="A1" s="2" t="s">
        <v>3</v>
      </c>
      <c r="B1" s="2" t="s">
        <v>0</v>
      </c>
      <c r="C1" s="2" t="s">
        <v>1</v>
      </c>
      <c r="D1" s="2" t="s">
        <v>2</v>
      </c>
    </row>
    <row r="2" spans="1:4" x14ac:dyDescent="0.25">
      <c r="A2" s="3" t="s">
        <v>4</v>
      </c>
      <c r="B2" s="1" t="s">
        <v>37</v>
      </c>
      <c r="C2" s="1" t="str">
        <f>IF(DIO[[#This Row],[Direction]]="DIO_Output","DIO_HIGH","N/A")</f>
        <v>N/A</v>
      </c>
      <c r="D2" s="1" t="s">
        <v>40</v>
      </c>
    </row>
    <row r="3" spans="1:4" x14ac:dyDescent="0.25">
      <c r="A3" s="3" t="s">
        <v>5</v>
      </c>
      <c r="B3" s="1" t="s">
        <v>37</v>
      </c>
      <c r="C3" s="1" t="str">
        <f>IF(DIO[[#This Row],[Direction]]="DIO_Output","DIO_HIGH","N/A")</f>
        <v>N/A</v>
      </c>
      <c r="D3" s="1" t="str">
        <f>IF(DIO[[#This Row],[Direction]]="DIO_Input","DIO_PULLUP","N/A")</f>
        <v>DIO_PULLUP</v>
      </c>
    </row>
    <row r="4" spans="1:4" x14ac:dyDescent="0.25">
      <c r="A4" s="3" t="s">
        <v>6</v>
      </c>
      <c r="B4" s="1" t="s">
        <v>37</v>
      </c>
      <c r="C4" s="1" t="str">
        <f>IF(DIO[[#This Row],[Direction]]="DIO_Output","DIO_HIGH","N/A")</f>
        <v>N/A</v>
      </c>
      <c r="D4" s="1" t="str">
        <f>IF(DIO[[#This Row],[Direction]]="DIO_Input","DIO_PULLUP","N/A")</f>
        <v>DIO_PULLUP</v>
      </c>
    </row>
    <row r="5" spans="1:4" x14ac:dyDescent="0.25">
      <c r="A5" s="3" t="s">
        <v>7</v>
      </c>
      <c r="B5" s="1" t="s">
        <v>37</v>
      </c>
      <c r="C5" s="1" t="str">
        <f>IF(DIO[[#This Row],[Direction]]="DIO_Output","DIO_HIGH","N/A")</f>
        <v>N/A</v>
      </c>
      <c r="D5" s="1" t="str">
        <f>IF(DIO[[#This Row],[Direction]]="DIO_Input","DIO_PULLUP","N/A")</f>
        <v>DIO_PULLUP</v>
      </c>
    </row>
    <row r="6" spans="1:4" x14ac:dyDescent="0.25">
      <c r="A6" s="3" t="s">
        <v>8</v>
      </c>
      <c r="B6" s="1" t="s">
        <v>37</v>
      </c>
      <c r="C6" s="1" t="str">
        <f>IF(DIO[[#This Row],[Direction]]="DIO_Output","DIO_HIGH","N/A")</f>
        <v>N/A</v>
      </c>
      <c r="D6" s="1" t="str">
        <f>IF(DIO[[#This Row],[Direction]]="DIO_Input","DIO_PULLUP","N/A")</f>
        <v>DIO_PULLUP</v>
      </c>
    </row>
    <row r="7" spans="1:4" x14ac:dyDescent="0.25">
      <c r="A7" s="3" t="s">
        <v>9</v>
      </c>
      <c r="B7" s="1" t="s">
        <v>37</v>
      </c>
      <c r="C7" s="1" t="str">
        <f>IF(DIO[[#This Row],[Direction]]="DIO_Output","DIO_HIGH","N/A")</f>
        <v>N/A</v>
      </c>
      <c r="D7" s="1" t="str">
        <f>IF(DIO[[#This Row],[Direction]]="DIO_Input","DIO_PULLUP","N/A")</f>
        <v>DIO_PULLUP</v>
      </c>
    </row>
    <row r="8" spans="1:4" x14ac:dyDescent="0.25">
      <c r="A8" s="3" t="s">
        <v>10</v>
      </c>
      <c r="B8" s="1" t="s">
        <v>37</v>
      </c>
      <c r="C8" s="1" t="str">
        <f>IF(DIO[[#This Row],[Direction]]="DIO_Output","DIO_HIGH","N/A")</f>
        <v>N/A</v>
      </c>
      <c r="D8" s="1" t="str">
        <f>IF(DIO[[#This Row],[Direction]]="DIO_Input","DIO_PULLUP","N/A")</f>
        <v>DIO_PULLUP</v>
      </c>
    </row>
    <row r="9" spans="1:4" x14ac:dyDescent="0.25">
      <c r="A9" s="3" t="s">
        <v>11</v>
      </c>
      <c r="B9" s="1" t="s">
        <v>37</v>
      </c>
      <c r="C9" s="1" t="str">
        <f>IF(DIO[[#This Row],[Direction]]="DIO_Output","DIO_HIGH","N/A")</f>
        <v>N/A</v>
      </c>
      <c r="D9" s="1" t="str">
        <f>IF(DIO[[#This Row],[Direction]]="DIO_Input","DIO_PULLUP","N/A")</f>
        <v>DIO_PULLUP</v>
      </c>
    </row>
    <row r="10" spans="1:4" x14ac:dyDescent="0.25">
      <c r="A10" s="3" t="s">
        <v>12</v>
      </c>
      <c r="B10" s="1" t="s">
        <v>37</v>
      </c>
      <c r="C10" s="1" t="str">
        <f>IF(DIO[[#This Row],[Direction]]="DIO_Output","DIO_HIGH","N/A")</f>
        <v>N/A</v>
      </c>
      <c r="D10" s="1" t="str">
        <f>IF(DIO[[#This Row],[Direction]]="DIO_Input","DIO_PULLUP","N/A")</f>
        <v>DIO_PULLUP</v>
      </c>
    </row>
    <row r="11" spans="1:4" x14ac:dyDescent="0.25">
      <c r="A11" s="3" t="s">
        <v>13</v>
      </c>
      <c r="B11" s="1" t="s">
        <v>37</v>
      </c>
      <c r="C11" s="1" t="str">
        <f>IF(DIO[[#This Row],[Direction]]="DIO_Output","DIO_HIGH","N/A")</f>
        <v>N/A</v>
      </c>
      <c r="D11" s="1" t="str">
        <f>IF(DIO[[#This Row],[Direction]]="DIO_Input","DIO_PULLUP","N/A")</f>
        <v>DIO_PULLUP</v>
      </c>
    </row>
    <row r="12" spans="1:4" x14ac:dyDescent="0.25">
      <c r="A12" s="3" t="s">
        <v>14</v>
      </c>
      <c r="B12" s="1" t="s">
        <v>37</v>
      </c>
      <c r="C12" s="1" t="str">
        <f>IF(DIO[[#This Row],[Direction]]="DIO_Output","DIO_HIGH","N/A")</f>
        <v>N/A</v>
      </c>
      <c r="D12" s="1" t="str">
        <f>IF(DIO[[#This Row],[Direction]]="DIO_Input","DIO_PULLUP","N/A")</f>
        <v>DIO_PULLUP</v>
      </c>
    </row>
    <row r="13" spans="1:4" x14ac:dyDescent="0.25">
      <c r="A13" s="3" t="s">
        <v>15</v>
      </c>
      <c r="B13" s="1" t="s">
        <v>37</v>
      </c>
      <c r="C13" s="1" t="str">
        <f>IF(DIO[[#This Row],[Direction]]="DIO_Output","DIO_HIGH","N/A")</f>
        <v>N/A</v>
      </c>
      <c r="D13" s="1" t="str">
        <f>IF(DIO[[#This Row],[Direction]]="DIO_Input","DIO_PULLUP","N/A")</f>
        <v>DIO_PULLUP</v>
      </c>
    </row>
    <row r="14" spans="1:4" x14ac:dyDescent="0.25">
      <c r="A14" s="3" t="s">
        <v>16</v>
      </c>
      <c r="B14" s="1" t="s">
        <v>37</v>
      </c>
      <c r="C14" s="1" t="str">
        <f>IF(DIO[[#This Row],[Direction]]="DIO_Output","DIO_HIGH","N/A")</f>
        <v>N/A</v>
      </c>
      <c r="D14" s="1" t="str">
        <f>IF(DIO[[#This Row],[Direction]]="DIO_Input","DIO_PULLUP","N/A")</f>
        <v>DIO_PULLUP</v>
      </c>
    </row>
    <row r="15" spans="1:4" x14ac:dyDescent="0.25">
      <c r="A15" s="3" t="s">
        <v>17</v>
      </c>
      <c r="B15" s="1" t="s">
        <v>36</v>
      </c>
      <c r="C15" s="1" t="str">
        <f>IF(DIO[[#This Row],[Direction]]="DIO_Output","DIO_HIGH","N/A")</f>
        <v>DIO_HIGH</v>
      </c>
      <c r="D15" s="1" t="str">
        <f>IF(DIO[[#This Row],[Direction]]="DIO_Input","DIO_PULLUP","N/A")</f>
        <v>N/A</v>
      </c>
    </row>
    <row r="16" spans="1:4" x14ac:dyDescent="0.25">
      <c r="A16" s="3" t="s">
        <v>18</v>
      </c>
      <c r="B16" s="1" t="s">
        <v>37</v>
      </c>
      <c r="C16" s="1" t="str">
        <f>IF(DIO[[#This Row],[Direction]]="DIO_Output","DIO_HIGH","N/A")</f>
        <v>N/A</v>
      </c>
      <c r="D16" s="1" t="s">
        <v>42</v>
      </c>
    </row>
    <row r="17" spans="1:4" x14ac:dyDescent="0.25">
      <c r="A17" s="3" t="s">
        <v>19</v>
      </c>
      <c r="B17" s="1" t="s">
        <v>37</v>
      </c>
      <c r="C17" s="1" t="str">
        <f>IF(DIO[[#This Row],[Direction]]="DIO_Output","DIO_HIGH","N/A")</f>
        <v>N/A</v>
      </c>
      <c r="D17" s="1" t="s">
        <v>42</v>
      </c>
    </row>
    <row r="18" spans="1:4" x14ac:dyDescent="0.25">
      <c r="A18" s="3" t="s">
        <v>20</v>
      </c>
      <c r="B18" s="1" t="s">
        <v>37</v>
      </c>
      <c r="C18" s="1" t="str">
        <f>IF(DIO[[#This Row],[Direction]]="DIO_Output","DIO_HIGH","N/A")</f>
        <v>N/A</v>
      </c>
      <c r="D18" s="1" t="str">
        <f>IF(DIO[[#This Row],[Direction]]="DIO_Input","DIO_PULLUP","N/A")</f>
        <v>DIO_PULLUP</v>
      </c>
    </row>
    <row r="19" spans="1:4" x14ac:dyDescent="0.25">
      <c r="A19" s="3" t="s">
        <v>21</v>
      </c>
      <c r="B19" s="1" t="s">
        <v>37</v>
      </c>
      <c r="C19" s="1" t="str">
        <f>IF(DIO[[#This Row],[Direction]]="DIO_Output","DIO_HIGH","N/A")</f>
        <v>N/A</v>
      </c>
      <c r="D19" s="1" t="s">
        <v>42</v>
      </c>
    </row>
    <row r="20" spans="1:4" x14ac:dyDescent="0.25">
      <c r="A20" s="3" t="s">
        <v>22</v>
      </c>
      <c r="B20" s="1" t="s">
        <v>37</v>
      </c>
      <c r="C20" s="1" t="str">
        <f>IF(DIO[[#This Row],[Direction]]="DIO_Output","DIO_HIGH","N/A")</f>
        <v>N/A</v>
      </c>
      <c r="D20" s="1" t="str">
        <f>IF(DIO[[#This Row],[Direction]]="DIO_Input","DIO_PULLUP","N/A")</f>
        <v>DIO_PULLUP</v>
      </c>
    </row>
    <row r="21" spans="1:4" x14ac:dyDescent="0.25">
      <c r="A21" s="3" t="s">
        <v>23</v>
      </c>
      <c r="B21" s="1" t="s">
        <v>36</v>
      </c>
      <c r="C21" s="1" t="s">
        <v>39</v>
      </c>
      <c r="D21" s="1" t="str">
        <f>IF(DIO[[#This Row],[Direction]]="DIO_Input","DIO_PULLUP","N/A")</f>
        <v>N/A</v>
      </c>
    </row>
    <row r="22" spans="1:4" x14ac:dyDescent="0.25">
      <c r="A22" s="3" t="s">
        <v>24</v>
      </c>
      <c r="B22" s="1" t="s">
        <v>37</v>
      </c>
      <c r="C22" s="1" t="str">
        <f>IF(DIO[[#This Row],[Direction]]="DIO_Output","DIO_HIGH","N/A")</f>
        <v>N/A</v>
      </c>
      <c r="D22" s="1" t="str">
        <f>IF(DIO[[#This Row],[Direction]]="DIO_Input","DIO_PULLUP","N/A")</f>
        <v>DIO_PULLUP</v>
      </c>
    </row>
    <row r="23" spans="1:4" x14ac:dyDescent="0.25">
      <c r="A23" s="3" t="s">
        <v>25</v>
      </c>
      <c r="B23" s="1" t="s">
        <v>37</v>
      </c>
      <c r="C23" s="1" t="str">
        <f>IF(DIO[[#This Row],[Direction]]="DIO_Output","DIO_HIGH","N/A")</f>
        <v>N/A</v>
      </c>
      <c r="D23" s="1" t="str">
        <f>IF(DIO[[#This Row],[Direction]]="DIO_Input","DIO_PULLUP","N/A")</f>
        <v>DIO_PULLUP</v>
      </c>
    </row>
    <row r="24" spans="1:4" x14ac:dyDescent="0.25">
      <c r="A24" s="3" t="s">
        <v>26</v>
      </c>
      <c r="B24" s="1" t="s">
        <v>37</v>
      </c>
      <c r="C24" s="1" t="str">
        <f>IF(DIO[[#This Row],[Direction]]="DIO_Output","DIO_HIGH","N/A")</f>
        <v>N/A</v>
      </c>
      <c r="D24" s="1" t="str">
        <f>IF(DIO[[#This Row],[Direction]]="DIO_Input","DIO_PULLUP","N/A")</f>
        <v>DIO_PULLUP</v>
      </c>
    </row>
    <row r="25" spans="1:4" x14ac:dyDescent="0.25">
      <c r="A25" s="3" t="s">
        <v>27</v>
      </c>
      <c r="B25" s="1" t="s">
        <v>37</v>
      </c>
      <c r="C25" s="1" t="str">
        <f>IF(DIO[[#This Row],[Direction]]="DIO_Output","DIO_HIGH","N/A")</f>
        <v>N/A</v>
      </c>
      <c r="D25" s="1" t="str">
        <f>IF(DIO[[#This Row],[Direction]]="DIO_Input","DIO_PULLUP","N/A")</f>
        <v>DIO_PULLUP</v>
      </c>
    </row>
    <row r="26" spans="1:4" x14ac:dyDescent="0.25">
      <c r="A26" s="3" t="s">
        <v>28</v>
      </c>
      <c r="B26" s="1" t="s">
        <v>37</v>
      </c>
      <c r="C26" s="1" t="str">
        <f>IF(DIO[[#This Row],[Direction]]="DIO_Output","DIO_HIGH","N/A")</f>
        <v>N/A</v>
      </c>
      <c r="D26" s="1" t="str">
        <f>IF(DIO[[#This Row],[Direction]]="DIO_Input","DIO_PULLUP","N/A")</f>
        <v>DIO_PULLUP</v>
      </c>
    </row>
    <row r="27" spans="1:4" x14ac:dyDescent="0.25">
      <c r="A27" s="3" t="s">
        <v>29</v>
      </c>
      <c r="B27" s="1" t="s">
        <v>37</v>
      </c>
      <c r="C27" s="1" t="str">
        <f>IF(DIO[[#This Row],[Direction]]="DIO_Output","DIO_HIGH","N/A")</f>
        <v>N/A</v>
      </c>
      <c r="D27" s="1" t="str">
        <f>IF(DIO[[#This Row],[Direction]]="DIO_Input","DIO_PULLUP","N/A")</f>
        <v>DIO_PULLUP</v>
      </c>
    </row>
    <row r="28" spans="1:4" x14ac:dyDescent="0.25">
      <c r="A28" s="3" t="s">
        <v>30</v>
      </c>
      <c r="B28" s="1" t="s">
        <v>37</v>
      </c>
      <c r="C28" s="1" t="str">
        <f>IF(DIO[[#This Row],[Direction]]="DIO_Output","DIO_HIGH","N/A")</f>
        <v>N/A</v>
      </c>
      <c r="D28" s="1" t="str">
        <f>IF(DIO[[#This Row],[Direction]]="DIO_Input","DIO_PULLUP","N/A")</f>
        <v>DIO_PULLUP</v>
      </c>
    </row>
    <row r="29" spans="1:4" x14ac:dyDescent="0.25">
      <c r="A29" s="3" t="s">
        <v>31</v>
      </c>
      <c r="B29" s="1" t="s">
        <v>37</v>
      </c>
      <c r="C29" s="1" t="str">
        <f>IF(DIO[[#This Row],[Direction]]="DIO_Output","DIO_HIGH","N/A")</f>
        <v>N/A</v>
      </c>
      <c r="D29" s="1" t="str">
        <f>IF(DIO[[#This Row],[Direction]]="DIO_Input","DIO_PULLUP","N/A")</f>
        <v>DIO_PULLUP</v>
      </c>
    </row>
    <row r="30" spans="1:4" x14ac:dyDescent="0.25">
      <c r="A30" s="3" t="s">
        <v>32</v>
      </c>
      <c r="B30" s="1" t="s">
        <v>37</v>
      </c>
      <c r="C30" s="1" t="str">
        <f>IF(DIO[[#This Row],[Direction]]="DIO_Output","DIO_HIGH","N/A")</f>
        <v>N/A</v>
      </c>
      <c r="D30" s="1" t="str">
        <f>IF(DIO[[#This Row],[Direction]]="DIO_Input","DIO_PULLUP","N/A")</f>
        <v>DIO_PULLUP</v>
      </c>
    </row>
    <row r="31" spans="1:4" x14ac:dyDescent="0.25">
      <c r="A31" s="3" t="s">
        <v>33</v>
      </c>
      <c r="B31" s="1" t="s">
        <v>37</v>
      </c>
      <c r="C31" s="1" t="str">
        <f>IF(DIO[[#This Row],[Direction]]="DIO_Output","DIO_HIGH","N/A")</f>
        <v>N/A</v>
      </c>
      <c r="D31" s="1" t="str">
        <f>IF(DIO[[#This Row],[Direction]]="DIO_Input","DIO_PULLUP","N/A")</f>
        <v>DIO_PULLUP</v>
      </c>
    </row>
    <row r="32" spans="1:4" x14ac:dyDescent="0.25">
      <c r="A32" s="3" t="s">
        <v>34</v>
      </c>
      <c r="B32" s="1" t="s">
        <v>37</v>
      </c>
      <c r="C32" s="1" t="str">
        <f>IF(DIO[[#This Row],[Direction]]="DIO_Output","DIO_HIGH","N/A")</f>
        <v>N/A</v>
      </c>
      <c r="D32" s="1" t="str">
        <f>IF(DIO[[#This Row],[Direction]]="DIO_Input","DIO_PULLUP","N/A")</f>
        <v>DIO_PULLUP</v>
      </c>
    </row>
    <row r="33" spans="1:4" x14ac:dyDescent="0.25">
      <c r="A33" s="3" t="s">
        <v>35</v>
      </c>
      <c r="B33" s="1" t="s">
        <v>37</v>
      </c>
      <c r="C33" s="1" t="str">
        <f>IF(DIO[[#This Row],[Direction]]="DIO_Output","DIO_HIGH","N/A")</f>
        <v>N/A</v>
      </c>
      <c r="D33" s="1" t="str">
        <f>IF(DIO[[#This Row],[Direction]]="DIO_Input","DIO_PULLUP","N/A")</f>
        <v>DIO_PULLUP</v>
      </c>
    </row>
  </sheetData>
  <phoneticPr fontId="2" type="noConversion"/>
  <conditionalFormatting sqref="B2:B33">
    <cfRule type="cellIs" dxfId="16" priority="9" operator="equal">
      <formula>"DIO_input"</formula>
    </cfRule>
    <cfRule type="cellIs" dxfId="15" priority="8" operator="equal">
      <formula>"DIO_Output"</formula>
    </cfRule>
  </conditionalFormatting>
  <conditionalFormatting sqref="C2:C33">
    <cfRule type="cellIs" dxfId="14" priority="7" operator="equal">
      <formula>"N/A"</formula>
    </cfRule>
    <cfRule type="cellIs" dxfId="13" priority="6" operator="equal">
      <formula>"DIO_HIGH"</formula>
    </cfRule>
    <cfRule type="cellIs" dxfId="12" priority="5" operator="equal">
      <formula>"DIO_LOW"</formula>
    </cfRule>
    <cfRule type="cellIs" dxfId="11" priority="4" operator="equal">
      <formula>"DIO_LOW"</formula>
    </cfRule>
  </conditionalFormatting>
  <conditionalFormatting sqref="D2:D33">
    <cfRule type="cellIs" dxfId="0" priority="3" operator="equal">
      <formula>"N/A"</formula>
    </cfRule>
    <cfRule type="cellIs" dxfId="1" priority="2" operator="equal">
      <formula>"DIO_PULLUP"</formula>
    </cfRule>
    <cfRule type="cellIs" dxfId="2" priority="1" operator="equal">
      <formula>"DIO_HIGH_IMPEDENCE"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GenButton1">
          <controlPr defaultSize="0" autoLine="0" autoPict="0" r:id="rId5">
            <anchor moveWithCells="1" sizeWithCells="1">
              <from>
                <xdr:col>7</xdr:col>
                <xdr:colOff>9525</xdr:colOff>
                <xdr:row>11</xdr:row>
                <xdr:rowOff>19050</xdr:rowOff>
              </from>
              <to>
                <xdr:col>9</xdr:col>
                <xdr:colOff>600075</xdr:colOff>
                <xdr:row>13</xdr:row>
                <xdr:rowOff>19050</xdr:rowOff>
              </to>
            </anchor>
          </controlPr>
        </control>
      </mc:Choice>
      <mc:Fallback>
        <control shapeId="1028" r:id="rId4" name="Gen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1691129-DCBF-4AD1-9AE9-61800EBD5884}">
          <x14:formula1>
            <xm:f>Settings!$A$1:$A$2</xm:f>
          </x14:formula1>
          <xm:sqref>B2:B33</xm:sqref>
        </x14:dataValidation>
        <x14:dataValidation type="list" allowBlank="1" showInputMessage="1" showErrorMessage="1" xr:uid="{A1F27195-9FFC-4D82-9789-AA6A86243B31}">
          <x14:formula1>
            <xm:f>Settings!$A$3:$A$5</xm:f>
          </x14:formula1>
          <xm:sqref>C2:C33</xm:sqref>
        </x14:dataValidation>
        <x14:dataValidation type="list" allowBlank="1" showInputMessage="1" showErrorMessage="1" xr:uid="{B4D7A51D-518E-4855-9FDF-57096B8372B9}">
          <x14:formula1>
            <xm:f>Settings!$A$6:$A$8</xm:f>
          </x14:formula1>
          <xm:sqref>D2:D33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55CE0-845D-4A60-B0DB-6982E133EDB1}">
  <sheetPr codeName="Sheet2"/>
  <dimension ref="A1:A8"/>
  <sheetViews>
    <sheetView workbookViewId="0">
      <selection activeCell="A7" sqref="A7"/>
    </sheetView>
  </sheetViews>
  <sheetFormatPr defaultRowHeight="15" x14ac:dyDescent="0.25"/>
  <cols>
    <col min="1" max="1" width="20.7109375" bestFit="1" customWidth="1"/>
  </cols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4" spans="1:1" x14ac:dyDescent="0.25">
      <c r="A4" t="s">
        <v>39</v>
      </c>
    </row>
    <row r="5" spans="1:1" x14ac:dyDescent="0.25">
      <c r="A5" t="s">
        <v>41</v>
      </c>
    </row>
    <row r="6" spans="1:1" x14ac:dyDescent="0.25">
      <c r="A6" t="s">
        <v>40</v>
      </c>
    </row>
    <row r="7" spans="1:1" x14ac:dyDescent="0.25">
      <c r="A7" t="s">
        <v>42</v>
      </c>
    </row>
    <row r="8" spans="1:1" x14ac:dyDescent="0.25">
      <c r="A8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Moustafa Ghareeb</dc:creator>
  <cp:lastModifiedBy>Moustafa Ghareeb</cp:lastModifiedBy>
  <dcterms:created xsi:type="dcterms:W3CDTF">2020-04-20T17:56:31Z</dcterms:created>
  <dcterms:modified xsi:type="dcterms:W3CDTF">2020-04-20T19:36:03Z</dcterms:modified>
</cp:coreProperties>
</file>